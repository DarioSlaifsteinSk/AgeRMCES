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grchandramouli_tudelft_nl/Documents/ACT Projects/MOOI-PhDs/MOOI-Dario/Simulation/FLEXINet/data/output/Run24/"/>
    </mc:Choice>
  </mc:AlternateContent>
  <xr:revisionPtr revIDLastSave="185" documentId="8_{3D222109-2227-4863-9A55-3A4ED970CFBA}" xr6:coauthVersionLast="47" xr6:coauthVersionMax="47" xr10:uidLastSave="{417F352A-79DB-4D08-B26B-DAE802A0A87F}"/>
  <bookViews>
    <workbookView xWindow="-120" yWindow="-16320" windowWidth="29040" windowHeight="15720" xr2:uid="{E57E8CE9-A9D3-4C86-B34D-3DC02B42A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K26" i="1"/>
  <c r="J26" i="1"/>
  <c r="K29" i="1"/>
  <c r="J29" i="1"/>
  <c r="I29" i="1"/>
  <c r="H29" i="1"/>
  <c r="I28" i="1"/>
  <c r="J28" i="1"/>
  <c r="K28" i="1"/>
  <c r="H28" i="1"/>
  <c r="I19" i="1"/>
  <c r="J19" i="1"/>
  <c r="K19" i="1"/>
  <c r="H19" i="1"/>
  <c r="K18" i="1"/>
  <c r="J18" i="1"/>
  <c r="I18" i="1"/>
  <c r="H18" i="1"/>
  <c r="I16" i="1"/>
  <c r="J16" i="1"/>
  <c r="K16" i="1"/>
  <c r="H16" i="1"/>
  <c r="I17" i="1"/>
  <c r="J17" i="1"/>
  <c r="K17" i="1"/>
  <c r="H17" i="1"/>
  <c r="I10" i="1"/>
  <c r="H10" i="1"/>
  <c r="I7" i="1"/>
  <c r="H7" i="1"/>
</calcChain>
</file>

<file path=xl/sharedStrings.xml><?xml version="1.0" encoding="utf-8"?>
<sst xmlns="http://schemas.openxmlformats.org/spreadsheetml/2006/main" count="39" uniqueCount="21">
  <si>
    <t>CPBDeg_W11e-1</t>
  </si>
  <si>
    <t>summer</t>
  </si>
  <si>
    <t>CPBDeg_W11e-2</t>
  </si>
  <si>
    <t>BNoDeg_W10</t>
  </si>
  <si>
    <t>CEmpDeg_W11</t>
  </si>
  <si>
    <t>CPBDeg_W11</t>
  </si>
  <si>
    <t>winter</t>
  </si>
  <si>
    <t>Cg</t>
  </si>
  <si>
    <t>Qloss</t>
  </si>
  <si>
    <t>CEmpDeg_W11e-2</t>
  </si>
  <si>
    <t>CS1</t>
  </si>
  <si>
    <t>CS2</t>
  </si>
  <si>
    <t>CS3</t>
  </si>
  <si>
    <t>SoH = 100%</t>
  </si>
  <si>
    <t>SoH = 90%</t>
  </si>
  <si>
    <t>CPBDeg</t>
  </si>
  <si>
    <t>BNoDeg</t>
  </si>
  <si>
    <t>LFP</t>
  </si>
  <si>
    <t>NMC</t>
  </si>
  <si>
    <t>wloss=0.1</t>
  </si>
  <si>
    <t>wloss=0.01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</si>
</sst>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43" fontId="3" fillId="0" borderId="0" xfId="1" applyFont="1" applyAlignment="1">
      <alignment horizontal="right" vertical="center" wrapText="1"/>
    </xf>
    <xf numFmtId="43" fontId="0" fillId="0" borderId="0" xfId="1" applyFont="1"/>
    <xf numFmtId="9" fontId="0" fillId="0" borderId="0" xfId="2" applyFont="1"/>
    <xf numFmtId="164" fontId="0" fillId="0" borderId="0" xfId="1" applyNumberFormat="1" applyFont="1"/>
    <xf numFmtId="0" fontId="1" fillId="0" borderId="0" xfId="0" applyFont="1" applyAlignment="1">
      <alignment horizontal="center"/>
    </xf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896F-9856-4585-946C-C9814835F7E3}">
  <dimension ref="B2:O30"/>
  <sheetViews>
    <sheetView tabSelected="1" zoomScale="115" zoomScaleNormal="115" workbookViewId="0">
      <selection activeCell="H30" sqref="H30:K30"/>
    </sheetView>
  </sheetViews>
  <sheetFormatPr defaultRowHeight="14.5" x14ac:dyDescent="0.35"/>
  <cols>
    <col min="2" max="2" width="10.81640625" bestFit="1" customWidth="1"/>
    <col min="3" max="3" width="17.81640625" bestFit="1" customWidth="1"/>
    <col min="4" max="4" width="8.26953125" bestFit="1" customWidth="1"/>
    <col min="5" max="5" width="7.1796875" bestFit="1" customWidth="1"/>
    <col min="6" max="6" width="8.26953125" bestFit="1" customWidth="1"/>
    <col min="7" max="7" width="7.1796875" bestFit="1" customWidth="1"/>
    <col min="10" max="10" width="11.7265625" customWidth="1"/>
  </cols>
  <sheetData>
    <row r="2" spans="2:15" x14ac:dyDescent="0.35">
      <c r="C2" s="1" t="s">
        <v>10</v>
      </c>
    </row>
    <row r="3" spans="2:15" x14ac:dyDescent="0.35">
      <c r="D3" s="11" t="s">
        <v>7</v>
      </c>
      <c r="E3" s="11"/>
      <c r="F3" s="11" t="s">
        <v>8</v>
      </c>
      <c r="G3" s="11"/>
      <c r="K3" s="11"/>
      <c r="L3" s="11"/>
      <c r="M3" s="11"/>
      <c r="N3" s="11"/>
    </row>
    <row r="4" spans="2:15" x14ac:dyDescent="0.35">
      <c r="D4" t="s">
        <v>1</v>
      </c>
      <c r="E4" t="s">
        <v>6</v>
      </c>
      <c r="F4" t="s">
        <v>1</v>
      </c>
      <c r="G4" t="s">
        <v>6</v>
      </c>
    </row>
    <row r="5" spans="2:15" x14ac:dyDescent="0.35">
      <c r="C5" s="1" t="s">
        <v>3</v>
      </c>
      <c r="D5" s="10">
        <v>55.390303700539697</v>
      </c>
      <c r="E5" s="10">
        <v>101.662812565218</v>
      </c>
      <c r="F5" s="10">
        <v>377.31130801734702</v>
      </c>
      <c r="G5" s="10">
        <v>400.13562536591598</v>
      </c>
      <c r="J5" s="1"/>
    </row>
    <row r="6" spans="2:15" x14ac:dyDescent="0.35">
      <c r="C6" s="1" t="s">
        <v>4</v>
      </c>
      <c r="D6" s="10">
        <v>75.720744790019097</v>
      </c>
      <c r="E6" s="10">
        <v>124.366136223518</v>
      </c>
      <c r="F6" s="10">
        <v>182.312883511759</v>
      </c>
      <c r="G6" s="10">
        <v>194.47955967848401</v>
      </c>
      <c r="J6" s="1"/>
    </row>
    <row r="7" spans="2:15" x14ac:dyDescent="0.35">
      <c r="C7" s="1" t="s">
        <v>9</v>
      </c>
      <c r="D7" s="10">
        <v>62.343242263838299</v>
      </c>
      <c r="E7" s="10">
        <v>115.28171091577499</v>
      </c>
      <c r="F7" s="10">
        <v>233.98225286621599</v>
      </c>
      <c r="G7" s="10">
        <v>250.78492089898299</v>
      </c>
      <c r="H7">
        <f>+(F7-F$5)/F$5</f>
        <v>-0.37986949265920605</v>
      </c>
      <c r="I7">
        <f>+(G7-G$5)/G$5</f>
        <v>-0.37325020567802425</v>
      </c>
      <c r="J7" s="1"/>
    </row>
    <row r="8" spans="2:15" x14ac:dyDescent="0.35">
      <c r="C8" s="1" t="s">
        <v>5</v>
      </c>
      <c r="D8" s="10">
        <v>74.915936755764406</v>
      </c>
      <c r="E8" s="10">
        <v>122.253206566961</v>
      </c>
      <c r="F8" s="10">
        <v>166.019037628473</v>
      </c>
      <c r="G8" s="10">
        <v>160.13539384003201</v>
      </c>
      <c r="K8" s="2"/>
    </row>
    <row r="9" spans="2:15" x14ac:dyDescent="0.35">
      <c r="C9" s="1" t="s">
        <v>0</v>
      </c>
      <c r="D9" s="10">
        <v>64.675659093428905</v>
      </c>
      <c r="E9" s="10">
        <v>116.863873240408</v>
      </c>
      <c r="F9" s="10">
        <v>242.92381036268199</v>
      </c>
      <c r="G9" s="10">
        <v>210.17562715721601</v>
      </c>
      <c r="J9" s="1"/>
      <c r="K9" s="3"/>
      <c r="L9" s="4"/>
      <c r="M9" s="4"/>
      <c r="N9" s="4"/>
      <c r="O9" s="4"/>
    </row>
    <row r="10" spans="2:15" x14ac:dyDescent="0.35">
      <c r="C10" s="1" t="s">
        <v>2</v>
      </c>
      <c r="D10" s="10">
        <v>57.626490065195803</v>
      </c>
      <c r="E10" s="10">
        <v>109.88774980017899</v>
      </c>
      <c r="F10" s="10">
        <v>343.15974362888397</v>
      </c>
      <c r="G10" s="10">
        <v>351.662304645294</v>
      </c>
      <c r="H10">
        <f>+(F10-F$5)/F$5</f>
        <v>-9.051296280495498E-2</v>
      </c>
      <c r="I10">
        <f>+(G10-G$5)/G$5</f>
        <v>-0.12114222690442548</v>
      </c>
      <c r="K10" s="3"/>
      <c r="L10" s="4"/>
      <c r="M10" s="4"/>
      <c r="N10" s="4"/>
      <c r="O10" s="4"/>
    </row>
    <row r="11" spans="2:15" x14ac:dyDescent="0.35">
      <c r="K11" s="3"/>
      <c r="L11" s="5"/>
      <c r="M11" s="6"/>
    </row>
    <row r="12" spans="2:15" x14ac:dyDescent="0.35">
      <c r="K12" s="3"/>
      <c r="L12" s="5"/>
      <c r="M12" s="6"/>
    </row>
    <row r="13" spans="2:15" x14ac:dyDescent="0.35">
      <c r="C13" s="1" t="s">
        <v>11</v>
      </c>
      <c r="K13" s="3"/>
      <c r="L13" s="5"/>
      <c r="M13" s="6"/>
    </row>
    <row r="14" spans="2:15" x14ac:dyDescent="0.35">
      <c r="D14" s="11" t="s">
        <v>7</v>
      </c>
      <c r="E14" s="11"/>
      <c r="F14" s="11" t="s">
        <v>8</v>
      </c>
      <c r="G14" s="11"/>
      <c r="K14" s="3"/>
      <c r="L14" s="5"/>
      <c r="M14" s="6"/>
    </row>
    <row r="15" spans="2:15" x14ac:dyDescent="0.35">
      <c r="D15" t="s">
        <v>1</v>
      </c>
      <c r="E15" t="s">
        <v>6</v>
      </c>
      <c r="F15" t="s">
        <v>1</v>
      </c>
      <c r="G15" t="s">
        <v>6</v>
      </c>
      <c r="K15" s="3"/>
      <c r="L15" s="5"/>
      <c r="M15" s="6"/>
    </row>
    <row r="16" spans="2:15" x14ac:dyDescent="0.35">
      <c r="B16" s="1" t="s">
        <v>19</v>
      </c>
      <c r="C16" s="1" t="s">
        <v>17</v>
      </c>
      <c r="D16" s="10">
        <v>57.9</v>
      </c>
      <c r="E16" s="10">
        <v>112</v>
      </c>
      <c r="F16" s="10">
        <v>186.7</v>
      </c>
      <c r="G16" s="10">
        <v>170.5</v>
      </c>
      <c r="H16" s="9">
        <f>+(D16-D17)/D17</f>
        <v>-0.10510046367851629</v>
      </c>
      <c r="I16" s="9">
        <f t="shared" ref="I16:K16" si="0">+(E16-E17)/E17</f>
        <v>-4.1916167664670705E-2</v>
      </c>
      <c r="J16" s="9">
        <f t="shared" si="0"/>
        <v>-0.23168724279835395</v>
      </c>
      <c r="K16" s="9">
        <f t="shared" si="0"/>
        <v>-0.18886774500475734</v>
      </c>
      <c r="L16" s="5"/>
      <c r="M16" s="6"/>
    </row>
    <row r="17" spans="2:13" x14ac:dyDescent="0.35">
      <c r="C17" s="1" t="s">
        <v>18</v>
      </c>
      <c r="D17" s="10">
        <v>64.7</v>
      </c>
      <c r="E17" s="10">
        <v>116.9</v>
      </c>
      <c r="F17" s="10">
        <v>243</v>
      </c>
      <c r="G17" s="10">
        <v>210.2</v>
      </c>
      <c r="H17" s="9">
        <f>+(D17-D$16)/D$16</f>
        <v>0.11744386873920561</v>
      </c>
      <c r="I17" s="9">
        <f t="shared" ref="I17:K17" si="1">+(E17-E$16)/E$16</f>
        <v>4.3750000000000053E-2</v>
      </c>
      <c r="J17" s="9">
        <f t="shared" si="1"/>
        <v>0.30155329405463316</v>
      </c>
      <c r="K17" s="9">
        <f t="shared" si="1"/>
        <v>0.23284457478005857</v>
      </c>
      <c r="L17" s="5"/>
      <c r="M17" s="6"/>
    </row>
    <row r="18" spans="2:13" x14ac:dyDescent="0.35">
      <c r="B18" s="1" t="s">
        <v>20</v>
      </c>
      <c r="C18" s="1" t="s">
        <v>17</v>
      </c>
      <c r="D18" s="10">
        <v>60.867899999999999</v>
      </c>
      <c r="E18" s="10">
        <v>108.01300000000001</v>
      </c>
      <c r="F18" s="10">
        <v>237.94800000000001</v>
      </c>
      <c r="G18" s="10">
        <v>246.34700000000001</v>
      </c>
      <c r="H18" s="9">
        <f>+(D18-D19)/D19</f>
        <v>5.6248427372823248E-2</v>
      </c>
      <c r="I18" s="9">
        <f t="shared" ref="I18" si="2">+(E18-E19)/E19</f>
        <v>-1.7062827606290042E-2</v>
      </c>
      <c r="J18" s="9">
        <f t="shared" ref="J18" si="3">+(F18-F19)/F19</f>
        <v>-0.30659750553677589</v>
      </c>
      <c r="K18" s="9">
        <f t="shared" ref="K18" si="4">+(G18-G19)/G19</f>
        <v>-0.29947790776370486</v>
      </c>
      <c r="L18" s="5"/>
      <c r="M18" s="6"/>
    </row>
    <row r="19" spans="2:13" x14ac:dyDescent="0.35">
      <c r="C19" s="1" t="s">
        <v>18</v>
      </c>
      <c r="D19" s="10">
        <v>57.6265</v>
      </c>
      <c r="E19" s="10">
        <v>109.88800000000001</v>
      </c>
      <c r="F19" s="10">
        <v>343.16</v>
      </c>
      <c r="G19" s="10">
        <v>351.66199999999998</v>
      </c>
      <c r="H19" s="9">
        <f>+(D19-D$18)/D$18</f>
        <v>-5.3253028279273619E-2</v>
      </c>
      <c r="I19" s="9">
        <f t="shared" ref="I19:K19" si="5">+(E19-E$18)/E$18</f>
        <v>1.7359021599251942E-2</v>
      </c>
      <c r="J19" s="9">
        <f t="shared" si="5"/>
        <v>0.44216383411501681</v>
      </c>
      <c r="K19" s="9">
        <f t="shared" si="5"/>
        <v>0.42750672831412589</v>
      </c>
    </row>
    <row r="21" spans="2:13" x14ac:dyDescent="0.35">
      <c r="C21" s="1" t="s">
        <v>12</v>
      </c>
    </row>
    <row r="22" spans="2:13" x14ac:dyDescent="0.35">
      <c r="D22" s="11" t="s">
        <v>7</v>
      </c>
      <c r="E22" s="11"/>
      <c r="F22" s="11" t="s">
        <v>8</v>
      </c>
      <c r="G22" s="11"/>
    </row>
    <row r="23" spans="2:13" x14ac:dyDescent="0.35">
      <c r="D23" t="s">
        <v>1</v>
      </c>
      <c r="E23" t="s">
        <v>6</v>
      </c>
      <c r="F23" t="s">
        <v>1</v>
      </c>
      <c r="G23" t="s">
        <v>6</v>
      </c>
    </row>
    <row r="24" spans="2:13" x14ac:dyDescent="0.35">
      <c r="C24" s="1" t="s">
        <v>13</v>
      </c>
    </row>
    <row r="25" spans="2:13" x14ac:dyDescent="0.35">
      <c r="C25" s="5" t="s">
        <v>16</v>
      </c>
      <c r="D25" s="7">
        <v>55.390300000000003</v>
      </c>
      <c r="E25" s="7">
        <v>101.663</v>
      </c>
      <c r="F25" s="7">
        <v>377.31099999999998</v>
      </c>
      <c r="G25" s="7">
        <v>400.13600000000002</v>
      </c>
    </row>
    <row r="26" spans="2:13" x14ac:dyDescent="0.35">
      <c r="C26" s="5" t="s">
        <v>15</v>
      </c>
      <c r="D26" s="7">
        <v>64.675700000000006</v>
      </c>
      <c r="E26" s="7">
        <v>116.864</v>
      </c>
      <c r="F26" s="7">
        <v>242.92400000000001</v>
      </c>
      <c r="G26" s="7">
        <v>210.17599999999999</v>
      </c>
      <c r="H26" s="9">
        <f>+(D26-D25)/D25</f>
        <v>0.1676358495982149</v>
      </c>
      <c r="I26" s="9">
        <f>+(E26-E25)/E25</f>
        <v>0.14952342543501576</v>
      </c>
      <c r="J26" s="9">
        <f>+(F26-F25)/F25</f>
        <v>-0.35617037404157309</v>
      </c>
      <c r="K26" s="9">
        <f>+(G26-G25)/G25</f>
        <v>-0.47473858887978093</v>
      </c>
    </row>
    <row r="27" spans="2:13" x14ac:dyDescent="0.35">
      <c r="C27" s="1" t="s">
        <v>14</v>
      </c>
      <c r="D27" s="8"/>
      <c r="E27" s="8"/>
      <c r="F27" s="8"/>
      <c r="G27" s="8"/>
    </row>
    <row r="28" spans="2:13" x14ac:dyDescent="0.35">
      <c r="C28" s="5" t="s">
        <v>16</v>
      </c>
      <c r="D28" s="7">
        <v>58.661099999999998</v>
      </c>
      <c r="E28" s="7">
        <v>111.31100000000001</v>
      </c>
      <c r="F28" s="7">
        <v>281.10899999999998</v>
      </c>
      <c r="G28" s="7">
        <v>288.31</v>
      </c>
      <c r="H28" s="9">
        <f>+(D28-D25)/D25</f>
        <v>5.9050050279561478E-2</v>
      </c>
      <c r="I28" s="9">
        <f t="shared" ref="I28:K28" si="6">+(E28-E25)/E25</f>
        <v>9.4901783343005919E-2</v>
      </c>
      <c r="J28" s="9">
        <f t="shared" si="6"/>
        <v>-0.25496738764573523</v>
      </c>
      <c r="K28" s="9">
        <f t="shared" si="6"/>
        <v>-0.27946998020672975</v>
      </c>
    </row>
    <row r="29" spans="2:13" x14ac:dyDescent="0.35">
      <c r="C29" s="5" t="s">
        <v>15</v>
      </c>
      <c r="D29" s="7">
        <v>60.871099999999998</v>
      </c>
      <c r="E29" s="7">
        <v>120.85599999999999</v>
      </c>
      <c r="F29" s="7">
        <v>168.63800000000001</v>
      </c>
      <c r="G29" s="7">
        <v>149.30000000000001</v>
      </c>
      <c r="H29" s="9">
        <f>+(D29-D26)/D26</f>
        <v>-5.8825803199656246E-2</v>
      </c>
      <c r="I29" s="9">
        <f t="shared" ref="I29" si="7">+(E29-E26)/E26</f>
        <v>3.4159364731653805E-2</v>
      </c>
      <c r="J29" s="9">
        <f t="shared" ref="J29" si="8">+(F29-F26)/F26</f>
        <v>-0.30579934465100195</v>
      </c>
      <c r="K29" s="9">
        <f t="shared" ref="K29" si="9">+(G29-G26)/G26</f>
        <v>-0.28964296589524963</v>
      </c>
    </row>
    <row r="30" spans="2:13" x14ac:dyDescent="0.35">
      <c r="H30" s="12"/>
      <c r="I30" s="12"/>
      <c r="J30" s="12"/>
      <c r="K30" s="12"/>
    </row>
  </sheetData>
  <mergeCells count="8">
    <mergeCell ref="D3:E3"/>
    <mergeCell ref="F3:G3"/>
    <mergeCell ref="K3:L3"/>
    <mergeCell ref="M3:N3"/>
    <mergeCell ref="D22:E22"/>
    <mergeCell ref="F22:G22"/>
    <mergeCell ref="D14:E14"/>
    <mergeCell ref="F14:G14"/>
  </mergeCells>
  <conditionalFormatting sqref="D5:D1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D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:D2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E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E29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:F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F29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G1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:G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:G2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Slaifstein</dc:creator>
  <cp:lastModifiedBy>Dario Slaifstein</cp:lastModifiedBy>
  <dcterms:created xsi:type="dcterms:W3CDTF">2026-04-08T08:39:30Z</dcterms:created>
  <dcterms:modified xsi:type="dcterms:W3CDTF">2026-04-17T08:39:02Z</dcterms:modified>
</cp:coreProperties>
</file>